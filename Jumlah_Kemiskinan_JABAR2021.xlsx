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9031C373-E3E4-40D4-82BD-AB24797E5851}" xr6:coauthVersionLast="47" xr6:coauthVersionMax="47" xr10:uidLastSave="{00000000-0000-0000-0000-000000000000}"/>
  <bookViews>
    <workbookView xWindow="-110" yWindow="-110" windowWidth="19420" windowHeight="10300" xr2:uid="{FB7A0867-1F3A-4560-B19F-D7CBC72957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E4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2" i="1" l="1"/>
  <c r="G4" i="1" s="1"/>
  <c r="D31" i="1"/>
  <c r="F30" i="1"/>
  <c r="G30" i="1" s="1"/>
  <c r="E30" i="1"/>
  <c r="F29" i="1"/>
  <c r="G29" i="1" s="1"/>
  <c r="E29" i="1"/>
  <c r="F28" i="1"/>
  <c r="G28" i="1" s="1"/>
  <c r="E28" i="1"/>
  <c r="F27" i="1"/>
  <c r="G27" i="1" s="1"/>
  <c r="E27" i="1"/>
  <c r="F26" i="1"/>
  <c r="G26" i="1" s="1"/>
  <c r="E26" i="1"/>
  <c r="F25" i="1"/>
  <c r="G25" i="1" s="1"/>
  <c r="E25" i="1"/>
  <c r="F24" i="1"/>
  <c r="G24" i="1" s="1"/>
  <c r="E24" i="1"/>
  <c r="F23" i="1"/>
  <c r="G23" i="1" s="1"/>
  <c r="E23" i="1"/>
  <c r="F22" i="1"/>
  <c r="G22" i="1" s="1"/>
  <c r="E22" i="1"/>
  <c r="F21" i="1"/>
  <c r="G21" i="1" s="1"/>
  <c r="E21" i="1"/>
  <c r="F20" i="1"/>
  <c r="G20" i="1" s="1"/>
  <c r="E20" i="1"/>
  <c r="F19" i="1"/>
  <c r="G19" i="1" s="1"/>
  <c r="E19" i="1"/>
  <c r="F18" i="1"/>
  <c r="G18" i="1" s="1"/>
  <c r="E18" i="1"/>
  <c r="F17" i="1"/>
  <c r="G17" i="1" s="1"/>
  <c r="E17" i="1"/>
  <c r="F16" i="1"/>
  <c r="G16" i="1" s="1"/>
  <c r="E16" i="1"/>
  <c r="F15" i="1"/>
  <c r="G15" i="1" s="1"/>
  <c r="E15" i="1"/>
  <c r="F14" i="1"/>
  <c r="G14" i="1" s="1"/>
  <c r="E14" i="1"/>
  <c r="F13" i="1"/>
  <c r="G13" i="1" s="1"/>
  <c r="E13" i="1"/>
  <c r="F12" i="1"/>
  <c r="G12" i="1" s="1"/>
  <c r="E12" i="1"/>
  <c r="F11" i="1"/>
  <c r="G11" i="1" s="1"/>
  <c r="E11" i="1"/>
  <c r="F10" i="1"/>
  <c r="G10" i="1" s="1"/>
  <c r="E10" i="1"/>
  <c r="F9" i="1"/>
  <c r="G9" i="1" s="1"/>
  <c r="E9" i="1"/>
  <c r="F8" i="1"/>
  <c r="G8" i="1" s="1"/>
  <c r="E8" i="1"/>
  <c r="F7" i="1"/>
  <c r="G7" i="1" s="1"/>
  <c r="E7" i="1"/>
  <c r="F6" i="1"/>
  <c r="G6" i="1" s="1"/>
  <c r="E6" i="1"/>
  <c r="F5" i="1"/>
  <c r="G5" i="1" s="1"/>
  <c r="E5" i="1"/>
  <c r="D33" i="1" l="1"/>
  <c r="D34" i="1" s="1"/>
  <c r="D37" i="1" s="1"/>
  <c r="D35" i="1"/>
  <c r="D36" i="1" s="1"/>
</calcChain>
</file>

<file path=xl/sharedStrings.xml><?xml version="1.0" encoding="utf-8"?>
<sst xmlns="http://schemas.openxmlformats.org/spreadsheetml/2006/main" count="42" uniqueCount="35">
  <si>
    <t>Kabupaten/
Kota</t>
  </si>
  <si>
    <t>Jumlah 
Penduduk (Jiwa)</t>
  </si>
  <si>
    <t>Persentase 
Kemiskinan</t>
  </si>
  <si>
    <t>Kemiskinan 
(Ribuan)</t>
  </si>
  <si>
    <t>Proporsi</t>
  </si>
  <si>
    <t>xi-xbar</t>
  </si>
  <si>
    <t>(xi-xbar)^2</t>
  </si>
  <si>
    <t>Jumlah Kemiskinan di Jawa Barat Tahun 2021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</si>
  <si>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</si>
  <si>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</si>
  <si>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</si>
  <si>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</si>
  <si>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</si>
  <si>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</si>
  <si>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</si>
  <si>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</si>
  <si>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</si>
  <si>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</si>
  <si>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</si>
  <si>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</si>
  <si>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</si>
  <si>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</si>
  <si>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</si>
  <si>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</si>
  <si>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</si>
  <si>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</si>
  <si>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Depok</t>
  </si>
  <si>
    <t>Cimahi</t>
  </si>
  <si>
    <t>Banjar</t>
  </si>
  <si>
    <t>Total</t>
  </si>
  <si>
    <t>Rata-rata</t>
  </si>
  <si>
    <t>Total Proporsi</t>
  </si>
  <si>
    <t>Total S^2</t>
  </si>
  <si>
    <t>S^2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</si>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</sst>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164" fontId="3" fillId="0" borderId="0" xfId="1" applyNumberFormat="1" applyFont="1"/>
    <xf numFmtId="2" fontId="3" fillId="0" borderId="0" xfId="0" applyNumberFormat="1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2" fontId="2" fillId="0" borderId="0" xfId="0" applyNumberFormat="1" applyFont="1"/>
    <xf numFmtId="43" fontId="2" fillId="0" borderId="0" xfId="1" applyFont="1"/>
    <xf numFmtId="43" fontId="2" fillId="0" borderId="0" xfId="0" applyNumberFormat="1" applyFont="1"/>
    <xf numFmtId="43" fontId="3" fillId="0" borderId="1" xfId="1" applyFont="1" applyBorder="1"/>
    <xf numFmtId="43" fontId="3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875A6-B698-480A-863A-44DA0FB3396B}">
  <dimension ref="A1:G37"/>
  <sheetViews>
    <sheetView tabSelected="1" workbookViewId="0">
      <selection activeCell="F5" sqref="F5"/>
    </sheetView>
  </sheetViews>
  <sheetFormatPr defaultRowHeight="15.5" x14ac:dyDescent="0.35"/>
  <cols>
    <col min="1" max="1" width="14.08984375" style="4" bestFit="1" customWidth="1"/>
    <col min="2" max="2" width="17.81640625" style="4" customWidth="1"/>
    <col min="3" max="3" width="14.54296875" style="4" bestFit="1" customWidth="1"/>
    <col min="4" max="4" width="14" style="4" customWidth="1"/>
    <col min="5" max="5" width="9.90625" style="4" customWidth="1"/>
    <col min="6" max="6" width="8.08984375" style="4" customWidth="1"/>
    <col min="7" max="7" width="12.36328125" style="4" customWidth="1"/>
    <col min="8" max="16384" width="8.7265625" style="4"/>
  </cols>
  <sheetData>
    <row r="1" spans="1:7" x14ac:dyDescent="0.35">
      <c r="A1" s="1" t="s">
        <v>7</v>
      </c>
      <c r="B1" s="2"/>
      <c r="C1" s="3"/>
    </row>
    <row r="2" spans="1:7" x14ac:dyDescent="0.35">
      <c r="B2" s="2"/>
      <c r="C2" s="3"/>
    </row>
    <row r="3" spans="1:7" ht="30" x14ac:dyDescent="0.35">
      <c r="A3" s="5" t="s">
        <v>0</v>
      </c>
      <c r="B3" s="6" t="s">
        <v>1</v>
      </c>
      <c r="C3" s="7" t="s">
        <v>2</v>
      </c>
      <c r="D3" s="8" t="s">
        <v>3</v>
      </c>
      <c r="E3" s="9" t="s">
        <v>4</v>
      </c>
      <c r="F3" s="10" t="s">
        <v>5</v>
      </c>
      <c r="G3" s="10" t="s">
        <v>6</v>
      </c>
    </row>
    <row r="4" spans="1:7" x14ac:dyDescent="0.35">
      <c r="A4" s="11" t="s">
        <v>8</v>
      </c>
      <c r="B4" s="11">
        <v>491.24</v>
      </c>
      <c r="C4" s="11">
        <v>8.1300000000000008</v>
      </c>
      <c r="D4" s="15">
        <f>C4*B4/100</f>
        <v>39.937812000000001</v>
      </c>
      <c r="E4" s="16">
        <f>D4/B4</f>
        <v>8.1299999999999997E-2</v>
      </c>
      <c r="F4" s="16">
        <f>D4-$D$32</f>
        <v>25.32483255555556</v>
      </c>
      <c r="G4" s="16">
        <f>F4^2</f>
        <v>641.34714396692675</v>
      </c>
    </row>
    <row r="5" spans="1:7" x14ac:dyDescent="0.35">
      <c r="A5" s="11" t="s">
        <v>9</v>
      </c>
      <c r="B5" s="11">
        <v>194.35</v>
      </c>
      <c r="C5" s="11">
        <v>7.7</v>
      </c>
      <c r="D5" s="15">
        <f t="shared" ref="D5:D30" si="0">C5*B5/100</f>
        <v>14.964949999999998</v>
      </c>
      <c r="E5" s="16">
        <f t="shared" ref="E5:E30" si="1">D5/B5</f>
        <v>7.6999999999999999E-2</v>
      </c>
      <c r="F5" s="16">
        <f t="shared" ref="F5:F30" si="2">D5-$D$32</f>
        <v>0.35197055555555679</v>
      </c>
      <c r="G5" s="16">
        <f t="shared" ref="G5:G30" si="3">F5^2</f>
        <v>0.12388327197808728</v>
      </c>
    </row>
    <row r="6" spans="1:7" x14ac:dyDescent="0.35">
      <c r="A6" s="11" t="s">
        <v>10</v>
      </c>
      <c r="B6" s="11">
        <v>260.02</v>
      </c>
      <c r="C6" s="11">
        <v>11.18</v>
      </c>
      <c r="D6" s="15">
        <f t="shared" si="0"/>
        <v>29.070235999999994</v>
      </c>
      <c r="E6" s="16">
        <f t="shared" si="1"/>
        <v>0.11179999999999998</v>
      </c>
      <c r="F6" s="16">
        <f t="shared" si="2"/>
        <v>14.457256555555553</v>
      </c>
      <c r="G6" s="16">
        <f t="shared" si="3"/>
        <v>209.012267113154</v>
      </c>
    </row>
    <row r="7" spans="1:7" x14ac:dyDescent="0.35">
      <c r="A7" s="11" t="s">
        <v>11</v>
      </c>
      <c r="B7" s="11">
        <v>269.18</v>
      </c>
      <c r="C7" s="11">
        <v>7.15</v>
      </c>
      <c r="D7" s="15">
        <f t="shared" si="0"/>
        <v>19.246370000000002</v>
      </c>
      <c r="E7" s="16">
        <f t="shared" si="1"/>
        <v>7.1500000000000008E-2</v>
      </c>
      <c r="F7" s="16">
        <f t="shared" si="2"/>
        <v>4.633390555555561</v>
      </c>
      <c r="G7" s="16">
        <f t="shared" si="3"/>
        <v>21.46830804031147</v>
      </c>
    </row>
    <row r="8" spans="1:7" x14ac:dyDescent="0.35">
      <c r="A8" s="11" t="s">
        <v>12</v>
      </c>
      <c r="B8" s="11">
        <v>281.36</v>
      </c>
      <c r="C8" s="11">
        <v>10.65</v>
      </c>
      <c r="D8" s="15">
        <f t="shared" si="0"/>
        <v>29.964840000000002</v>
      </c>
      <c r="E8" s="16">
        <f t="shared" si="1"/>
        <v>0.1065</v>
      </c>
      <c r="F8" s="16">
        <f t="shared" si="2"/>
        <v>15.351860555555561</v>
      </c>
      <c r="G8" s="16">
        <f t="shared" si="3"/>
        <v>235.6796225172227</v>
      </c>
    </row>
    <row r="9" spans="1:7" x14ac:dyDescent="0.35">
      <c r="A9" s="11" t="s">
        <v>13</v>
      </c>
      <c r="B9" s="11">
        <v>200.59</v>
      </c>
      <c r="C9" s="11">
        <v>11.15</v>
      </c>
      <c r="D9" s="15">
        <f t="shared" si="0"/>
        <v>22.365785000000002</v>
      </c>
      <c r="E9" s="16">
        <f t="shared" si="1"/>
        <v>0.11150000000000002</v>
      </c>
      <c r="F9" s="16">
        <f t="shared" si="2"/>
        <v>7.7528055555555611</v>
      </c>
      <c r="G9" s="16">
        <f t="shared" si="3"/>
        <v>60.105993982253175</v>
      </c>
    </row>
    <row r="10" spans="1:7" x14ac:dyDescent="0.35">
      <c r="A10" s="11" t="s">
        <v>14</v>
      </c>
      <c r="B10" s="11">
        <v>96.6</v>
      </c>
      <c r="C10" s="11">
        <v>7.97</v>
      </c>
      <c r="D10" s="15">
        <f t="shared" si="0"/>
        <v>7.6990199999999991</v>
      </c>
      <c r="E10" s="16">
        <f t="shared" si="1"/>
        <v>7.9699999999999993E-2</v>
      </c>
      <c r="F10" s="16">
        <f t="shared" si="2"/>
        <v>-6.9139594444444423</v>
      </c>
      <c r="G10" s="16">
        <f t="shared" si="3"/>
        <v>47.802835199422503</v>
      </c>
    </row>
    <row r="11" spans="1:7" x14ac:dyDescent="0.35">
      <c r="A11" s="11" t="s">
        <v>15</v>
      </c>
      <c r="B11" s="11">
        <v>143.35</v>
      </c>
      <c r="C11" s="11">
        <v>13.1</v>
      </c>
      <c r="D11" s="15">
        <f t="shared" si="0"/>
        <v>18.778849999999998</v>
      </c>
      <c r="E11" s="16">
        <f t="shared" si="1"/>
        <v>0.13100000000000001</v>
      </c>
      <c r="F11" s="16">
        <f t="shared" si="2"/>
        <v>4.1658705555555571</v>
      </c>
      <c r="G11" s="16">
        <f t="shared" si="3"/>
        <v>17.354477485644765</v>
      </c>
    </row>
    <row r="12" spans="1:7" x14ac:dyDescent="0.35">
      <c r="A12" s="11" t="s">
        <v>16</v>
      </c>
      <c r="B12" s="11">
        <v>271.02</v>
      </c>
      <c r="C12" s="11">
        <v>12.3</v>
      </c>
      <c r="D12" s="15">
        <f t="shared" si="0"/>
        <v>33.335459999999998</v>
      </c>
      <c r="E12" s="16">
        <f t="shared" si="1"/>
        <v>0.123</v>
      </c>
      <c r="F12" s="16">
        <f t="shared" si="2"/>
        <v>18.722480555555556</v>
      </c>
      <c r="G12" s="16">
        <f t="shared" si="3"/>
        <v>350.53127815315588</v>
      </c>
    </row>
    <row r="13" spans="1:7" x14ac:dyDescent="0.35">
      <c r="A13" s="11" t="s">
        <v>17</v>
      </c>
      <c r="B13" s="11">
        <v>151.13999999999999</v>
      </c>
      <c r="C13" s="11">
        <v>12.33</v>
      </c>
      <c r="D13" s="15">
        <f t="shared" si="0"/>
        <v>18.635561999999997</v>
      </c>
      <c r="E13" s="16">
        <f t="shared" si="1"/>
        <v>0.12329999999999999</v>
      </c>
      <c r="F13" s="16">
        <f t="shared" si="2"/>
        <v>4.0225825555555552</v>
      </c>
      <c r="G13" s="16">
        <f t="shared" si="3"/>
        <v>16.18117041625986</v>
      </c>
    </row>
    <row r="14" spans="1:7" x14ac:dyDescent="0.35">
      <c r="A14" s="11" t="s">
        <v>18</v>
      </c>
      <c r="B14" s="11">
        <v>126.28</v>
      </c>
      <c r="C14" s="11">
        <v>10.71</v>
      </c>
      <c r="D14" s="15">
        <f t="shared" si="0"/>
        <v>13.524588000000001</v>
      </c>
      <c r="E14" s="16">
        <f t="shared" si="1"/>
        <v>0.10710000000000001</v>
      </c>
      <c r="F14" s="16">
        <f t="shared" si="2"/>
        <v>-1.08839144444444</v>
      </c>
      <c r="G14" s="16">
        <f t="shared" si="3"/>
        <v>1.1845959363398546</v>
      </c>
    </row>
    <row r="15" spans="1:7" x14ac:dyDescent="0.35">
      <c r="A15" s="11" t="s">
        <v>19</v>
      </c>
      <c r="B15" s="11">
        <v>228.59</v>
      </c>
      <c r="C15" s="11">
        <v>13.04</v>
      </c>
      <c r="D15" s="15">
        <f t="shared" si="0"/>
        <v>29.808136000000001</v>
      </c>
      <c r="E15" s="16">
        <f t="shared" si="1"/>
        <v>0.13040000000000002</v>
      </c>
      <c r="F15" s="16">
        <f t="shared" si="2"/>
        <v>15.19515655555556</v>
      </c>
      <c r="G15" s="16">
        <f t="shared" si="3"/>
        <v>230.89278274784311</v>
      </c>
    </row>
    <row r="16" spans="1:7" x14ac:dyDescent="0.35">
      <c r="A16" s="11" t="s">
        <v>20</v>
      </c>
      <c r="B16" s="11">
        <v>158.97</v>
      </c>
      <c r="C16" s="11">
        <v>10.029999999999999</v>
      </c>
      <c r="D16" s="15">
        <f t="shared" si="0"/>
        <v>15.944690999999999</v>
      </c>
      <c r="E16" s="16">
        <f t="shared" si="1"/>
        <v>0.1003</v>
      </c>
      <c r="F16" s="16">
        <f t="shared" si="2"/>
        <v>1.3317115555555574</v>
      </c>
      <c r="G16" s="16">
        <f t="shared" si="3"/>
        <v>1.7734556672002024</v>
      </c>
    </row>
    <row r="17" spans="1:7" x14ac:dyDescent="0.35">
      <c r="A17" s="11" t="s">
        <v>21</v>
      </c>
      <c r="B17" s="11">
        <v>84.27</v>
      </c>
      <c r="C17" s="11">
        <v>8.83</v>
      </c>
      <c r="D17" s="15">
        <f t="shared" si="0"/>
        <v>7.4410410000000002</v>
      </c>
      <c r="E17" s="16">
        <f t="shared" si="1"/>
        <v>8.8300000000000003E-2</v>
      </c>
      <c r="F17" s="16">
        <f t="shared" si="2"/>
        <v>-7.1719384444444412</v>
      </c>
      <c r="G17" s="16">
        <f t="shared" si="3"/>
        <v>51.436701050900147</v>
      </c>
    </row>
    <row r="18" spans="1:7" x14ac:dyDescent="0.35">
      <c r="A18" s="11" t="s">
        <v>22</v>
      </c>
      <c r="B18" s="11">
        <v>210.78</v>
      </c>
      <c r="C18" s="11">
        <v>8.9499999999999993</v>
      </c>
      <c r="D18" s="15">
        <f t="shared" si="0"/>
        <v>18.864809999999999</v>
      </c>
      <c r="E18" s="16">
        <f t="shared" si="1"/>
        <v>8.9499999999999996E-2</v>
      </c>
      <c r="F18" s="16">
        <f t="shared" si="2"/>
        <v>4.2518305555555571</v>
      </c>
      <c r="G18" s="16">
        <f t="shared" si="3"/>
        <v>18.078063073155878</v>
      </c>
    </row>
    <row r="19" spans="1:7" x14ac:dyDescent="0.35">
      <c r="A19" s="11" t="s">
        <v>23</v>
      </c>
      <c r="B19" s="11">
        <v>202.73</v>
      </c>
      <c r="C19" s="11">
        <v>5.21</v>
      </c>
      <c r="D19" s="15">
        <f t="shared" si="0"/>
        <v>10.562232999999999</v>
      </c>
      <c r="E19" s="16">
        <f t="shared" si="1"/>
        <v>5.21E-2</v>
      </c>
      <c r="F19" s="16">
        <f t="shared" si="2"/>
        <v>-4.0507464444444423</v>
      </c>
      <c r="G19" s="16">
        <f t="shared" si="3"/>
        <v>16.408546757179291</v>
      </c>
    </row>
    <row r="20" spans="1:7" x14ac:dyDescent="0.35">
      <c r="A20" s="11" t="s">
        <v>24</v>
      </c>
      <c r="B20" s="11">
        <v>190.77</v>
      </c>
      <c r="C20" s="11">
        <v>11.3</v>
      </c>
      <c r="D20" s="15">
        <f t="shared" si="0"/>
        <v>21.557010000000005</v>
      </c>
      <c r="E20" s="16">
        <f t="shared" si="1"/>
        <v>0.11300000000000002</v>
      </c>
      <c r="F20" s="16">
        <f t="shared" si="2"/>
        <v>6.9440305555555639</v>
      </c>
      <c r="G20" s="16">
        <f t="shared" si="3"/>
        <v>48.21956035648931</v>
      </c>
    </row>
    <row r="21" spans="1:7" x14ac:dyDescent="0.35">
      <c r="A21" s="11" t="s">
        <v>25</v>
      </c>
      <c r="B21" s="11">
        <v>39.07</v>
      </c>
      <c r="C21" s="11">
        <v>9.65</v>
      </c>
      <c r="D21" s="15">
        <f t="shared" si="0"/>
        <v>3.7702550000000001</v>
      </c>
      <c r="E21" s="16">
        <f t="shared" si="1"/>
        <v>9.6500000000000002E-2</v>
      </c>
      <c r="F21" s="16">
        <f t="shared" si="2"/>
        <v>-10.842724444444441</v>
      </c>
      <c r="G21" s="16">
        <f t="shared" si="3"/>
        <v>117.564673378153</v>
      </c>
    </row>
    <row r="22" spans="1:7" x14ac:dyDescent="0.35">
      <c r="A22" s="11" t="s">
        <v>8</v>
      </c>
      <c r="B22" s="11">
        <v>80.09</v>
      </c>
      <c r="C22" s="11">
        <v>7.24</v>
      </c>
      <c r="D22" s="15">
        <f t="shared" si="0"/>
        <v>5.7985160000000011</v>
      </c>
      <c r="E22" s="16">
        <f t="shared" si="1"/>
        <v>7.2400000000000006E-2</v>
      </c>
      <c r="F22" s="16">
        <f t="shared" si="2"/>
        <v>-8.8144634444444403</v>
      </c>
      <c r="G22" s="16">
        <f t="shared" si="3"/>
        <v>77.694765813447347</v>
      </c>
    </row>
    <row r="23" spans="1:7" x14ac:dyDescent="0.35">
      <c r="A23" s="11" t="s">
        <v>9</v>
      </c>
      <c r="B23" s="11">
        <v>27.19</v>
      </c>
      <c r="C23" s="11">
        <v>8.25</v>
      </c>
      <c r="D23" s="15">
        <f t="shared" si="0"/>
        <v>2.2431750000000004</v>
      </c>
      <c r="E23" s="16">
        <f t="shared" si="1"/>
        <v>8.2500000000000004E-2</v>
      </c>
      <c r="F23" s="16">
        <f t="shared" si="2"/>
        <v>-12.369804444444441</v>
      </c>
      <c r="G23" s="16">
        <f t="shared" si="3"/>
        <v>153.01206199379743</v>
      </c>
    </row>
    <row r="24" spans="1:7" x14ac:dyDescent="0.35">
      <c r="A24" s="11" t="s">
        <v>11</v>
      </c>
      <c r="B24" s="11">
        <v>112.5</v>
      </c>
      <c r="C24" s="11">
        <v>4.37</v>
      </c>
      <c r="D24" s="15">
        <f t="shared" si="0"/>
        <v>4.9162499999999998</v>
      </c>
      <c r="E24" s="16">
        <f t="shared" si="1"/>
        <v>4.3699999999999996E-2</v>
      </c>
      <c r="F24" s="16">
        <f t="shared" si="2"/>
        <v>-9.6967294444444416</v>
      </c>
      <c r="G24" s="16">
        <f t="shared" si="3"/>
        <v>94.026561918755803</v>
      </c>
    </row>
    <row r="25" spans="1:7" x14ac:dyDescent="0.35">
      <c r="A25" s="11" t="s">
        <v>16</v>
      </c>
      <c r="B25" s="11">
        <v>31.98</v>
      </c>
      <c r="C25" s="11">
        <v>10.029999999999999</v>
      </c>
      <c r="D25" s="15">
        <f t="shared" si="0"/>
        <v>3.2075939999999998</v>
      </c>
      <c r="E25" s="16">
        <f t="shared" si="1"/>
        <v>0.1003</v>
      </c>
      <c r="F25" s="16">
        <f t="shared" si="2"/>
        <v>-11.405385444444441</v>
      </c>
      <c r="G25" s="16">
        <f t="shared" si="3"/>
        <v>130.08281713634511</v>
      </c>
    </row>
    <row r="26" spans="1:7" x14ac:dyDescent="0.35">
      <c r="A26" s="11" t="s">
        <v>23</v>
      </c>
      <c r="B26" s="11">
        <v>144.12</v>
      </c>
      <c r="C26" s="11">
        <v>4.74</v>
      </c>
      <c r="D26" s="15">
        <f t="shared" si="0"/>
        <v>6.8312880000000007</v>
      </c>
      <c r="E26" s="16">
        <f t="shared" si="1"/>
        <v>4.7400000000000005E-2</v>
      </c>
      <c r="F26" s="16">
        <f t="shared" si="2"/>
        <v>-7.7816914444444407</v>
      </c>
      <c r="G26" s="16">
        <f t="shared" si="3"/>
        <v>60.554721736539804</v>
      </c>
    </row>
    <row r="27" spans="1:7" x14ac:dyDescent="0.35">
      <c r="A27" s="11" t="s">
        <v>26</v>
      </c>
      <c r="B27" s="11">
        <v>63.86</v>
      </c>
      <c r="C27" s="11">
        <v>2.58</v>
      </c>
      <c r="D27" s="15">
        <f t="shared" si="0"/>
        <v>1.6475880000000001</v>
      </c>
      <c r="E27" s="16">
        <f t="shared" si="1"/>
        <v>2.58E-2</v>
      </c>
      <c r="F27" s="16">
        <f t="shared" si="2"/>
        <v>-12.965391444444441</v>
      </c>
      <c r="G27" s="16">
        <f t="shared" si="3"/>
        <v>168.10137530767309</v>
      </c>
    </row>
    <row r="28" spans="1:7" x14ac:dyDescent="0.35">
      <c r="A28" s="11" t="s">
        <v>27</v>
      </c>
      <c r="B28" s="11">
        <v>32.479999999999997</v>
      </c>
      <c r="C28" s="11">
        <v>5.35</v>
      </c>
      <c r="D28" s="15">
        <f t="shared" si="0"/>
        <v>1.7376799999999997</v>
      </c>
      <c r="E28" s="16">
        <f t="shared" si="1"/>
        <v>5.3499999999999992E-2</v>
      </c>
      <c r="F28" s="16">
        <f t="shared" si="2"/>
        <v>-12.875299444444442</v>
      </c>
      <c r="G28" s="16">
        <f t="shared" si="3"/>
        <v>165.77333578411137</v>
      </c>
    </row>
    <row r="29" spans="1:7" x14ac:dyDescent="0.35">
      <c r="A29" s="11" t="s">
        <v>13</v>
      </c>
      <c r="B29" s="11">
        <v>89.46</v>
      </c>
      <c r="C29" s="11">
        <v>13.13</v>
      </c>
      <c r="D29" s="15">
        <f t="shared" si="0"/>
        <v>11.746098</v>
      </c>
      <c r="E29" s="16">
        <f t="shared" si="1"/>
        <v>0.1313</v>
      </c>
      <c r="F29" s="16">
        <f t="shared" si="2"/>
        <v>-2.8668814444444415</v>
      </c>
      <c r="G29" s="16">
        <f t="shared" si="3"/>
        <v>8.2190092164998472</v>
      </c>
    </row>
    <row r="30" spans="1:7" x14ac:dyDescent="0.35">
      <c r="A30" s="11" t="s">
        <v>28</v>
      </c>
      <c r="B30" s="11">
        <v>13.37</v>
      </c>
      <c r="C30" s="11">
        <v>7.11</v>
      </c>
      <c r="D30" s="15">
        <f t="shared" si="0"/>
        <v>0.95060699999999998</v>
      </c>
      <c r="E30" s="16">
        <f t="shared" si="1"/>
        <v>7.1099999999999997E-2</v>
      </c>
      <c r="F30" s="16">
        <f t="shared" si="2"/>
        <v>-13.662372444444442</v>
      </c>
      <c r="G30" s="16">
        <f t="shared" si="3"/>
        <v>186.66042081071478</v>
      </c>
    </row>
    <row r="31" spans="1:7" x14ac:dyDescent="0.35">
      <c r="C31" s="12" t="s">
        <v>29</v>
      </c>
      <c r="D31" s="13">
        <f>SUM(D4:D30)</f>
        <v>394.55044499999991</v>
      </c>
    </row>
    <row r="32" spans="1:7" x14ac:dyDescent="0.35">
      <c r="C32" s="12" t="s">
        <v>30</v>
      </c>
      <c r="D32" s="14">
        <f>AVERAGE(D4:D30)</f>
        <v>14.612979444444441</v>
      </c>
    </row>
    <row r="33" spans="3:4" x14ac:dyDescent="0.35">
      <c r="C33" s="12" t="s">
        <v>31</v>
      </c>
      <c r="D33" s="14">
        <f>SUM(E4:E30)</f>
        <v>2.4218000000000002</v>
      </c>
    </row>
    <row r="34" spans="3:4" x14ac:dyDescent="0.35">
      <c r="C34" s="12" t="s">
        <v>4</v>
      </c>
      <c r="D34" s="14">
        <f>D33/27</f>
        <v>8.9696296296296302E-2</v>
      </c>
    </row>
    <row r="35" spans="3:4" x14ac:dyDescent="0.35">
      <c r="C35" s="12" t="s">
        <v>32</v>
      </c>
      <c r="D35" s="13">
        <f>SUM(G4:G30)</f>
        <v>3129.2904288314739</v>
      </c>
    </row>
    <row r="36" spans="3:4" x14ac:dyDescent="0.35">
      <c r="C36" s="12" t="s">
        <v>33</v>
      </c>
      <c r="D36" s="14">
        <f>D35/26</f>
        <v>120.35732418582592</v>
      </c>
    </row>
    <row r="37" spans="3:4" x14ac:dyDescent="0.35">
      <c r="C37" s="12" t="s">
        <v>34</v>
      </c>
      <c r="D37" s="14">
        <f>1-D34</f>
        <v>0.91030370370370373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2026-06-03T02:38:43Z</dcterms:created>
  <dcterms:modified xsi:type="dcterms:W3CDTF">2026-06-03T03:26:54Z</dcterms:modified>
</cp:coreProperties>
</file>